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view of cleaned counts and a" sheetId="1" r:id="rId5"/>
  </sheets>
  <definedNames/>
  <calcPr/>
</workbook>
</file>

<file path=xl/sharedStrings.xml><?xml version="1.0" encoding="utf-8"?>
<sst xmlns="http://schemas.openxmlformats.org/spreadsheetml/2006/main" count="189" uniqueCount="108">
  <si>
    <t>Overview of cleaned counts and average protein contents</t>
  </si>
  <si>
    <t>Weighted by supermarket</t>
  </si>
  <si>
    <t>Weighted by individual product</t>
  </si>
  <si>
    <t>Cross- supermarket meal deal averages</t>
  </si>
  <si>
    <r>
      <rPr>
        <rFont val="Arial"/>
        <b/>
        <color theme="1"/>
        <sz val="10.0"/>
      </rPr>
      <t>Average protein content of vegan meal deal:</t>
    </r>
    <r>
      <rPr>
        <rFont val="Arial"/>
        <color theme="1"/>
        <sz val="10.0"/>
      </rPr>
      <t xml:space="preserve">
vegan </t>
    </r>
    <r>
      <rPr>
        <rFont val="Arial"/>
        <b/>
        <color theme="1"/>
        <sz val="10.0"/>
      </rPr>
      <t xml:space="preserve">main </t>
    </r>
    <r>
      <rPr>
        <rFont val="Arial"/>
        <color theme="1"/>
        <sz val="10.0"/>
      </rPr>
      <t xml:space="preserve">average protein content
</t>
    </r>
    <r>
      <rPr>
        <rFont val="Arial"/>
        <b/>
        <color theme="1"/>
        <sz val="10.0"/>
      </rPr>
      <t xml:space="preserve">+
</t>
    </r>
    <r>
      <rPr>
        <rFont val="Arial"/>
        <color theme="1"/>
        <sz val="10.0"/>
      </rPr>
      <t xml:space="preserve">vegan </t>
    </r>
    <r>
      <rPr>
        <rFont val="Arial"/>
        <b/>
        <color theme="1"/>
        <sz val="10.0"/>
      </rPr>
      <t xml:space="preserve">side </t>
    </r>
    <r>
      <rPr>
        <rFont val="Arial"/>
        <color theme="1"/>
        <sz val="10.0"/>
      </rPr>
      <t xml:space="preserve">average protein content
</t>
    </r>
    <r>
      <rPr>
        <rFont val="Arial"/>
        <b/>
        <color theme="1"/>
        <sz val="10.0"/>
      </rPr>
      <t>+</t>
    </r>
    <r>
      <rPr>
        <rFont val="Arial"/>
        <color theme="1"/>
        <sz val="10.0"/>
      </rPr>
      <t xml:space="preserve">
vegan </t>
    </r>
    <r>
      <rPr>
        <rFont val="Arial"/>
        <b/>
        <color theme="1"/>
        <sz val="10.0"/>
      </rPr>
      <t xml:space="preserve">drink </t>
    </r>
    <r>
      <rPr>
        <rFont val="Arial"/>
        <color theme="1"/>
        <sz val="10.0"/>
      </rPr>
      <t>average protein content</t>
    </r>
  </si>
  <si>
    <r>
      <rPr>
        <rFont val="Arial"/>
        <b/>
        <color theme="1"/>
        <sz val="10.0"/>
      </rPr>
      <t>Average protein content of non-vegan meal deal:</t>
    </r>
    <r>
      <rPr>
        <rFont val="Arial"/>
        <color theme="1"/>
        <sz val="10.0"/>
      </rPr>
      <t xml:space="preserve">
vegan </t>
    </r>
    <r>
      <rPr>
        <rFont val="Arial"/>
        <b/>
        <color theme="1"/>
        <sz val="10.0"/>
      </rPr>
      <t xml:space="preserve">main </t>
    </r>
    <r>
      <rPr>
        <rFont val="Arial"/>
        <color theme="1"/>
        <sz val="10.0"/>
      </rPr>
      <t xml:space="preserve">average protein content
</t>
    </r>
    <r>
      <rPr>
        <rFont val="Arial"/>
        <b/>
        <color theme="1"/>
        <sz val="10.0"/>
      </rPr>
      <t>+</t>
    </r>
    <r>
      <rPr>
        <rFont val="Arial"/>
        <color theme="1"/>
        <sz val="10.0"/>
      </rPr>
      <t xml:space="preserve">
vegan </t>
    </r>
    <r>
      <rPr>
        <rFont val="Arial"/>
        <b/>
        <color theme="1"/>
        <sz val="10.0"/>
      </rPr>
      <t xml:space="preserve">side </t>
    </r>
    <r>
      <rPr>
        <rFont val="Arial"/>
        <color theme="1"/>
        <sz val="10.0"/>
      </rPr>
      <t xml:space="preserve">average protein content
</t>
    </r>
    <r>
      <rPr>
        <rFont val="Arial"/>
        <b/>
        <color theme="1"/>
        <sz val="10.0"/>
      </rPr>
      <t>+</t>
    </r>
    <r>
      <rPr>
        <rFont val="Arial"/>
        <color theme="1"/>
        <sz val="10.0"/>
      </rPr>
      <t xml:space="preserve">
vegan </t>
    </r>
    <r>
      <rPr>
        <rFont val="Arial"/>
        <b/>
        <color theme="1"/>
        <sz val="10.0"/>
      </rPr>
      <t xml:space="preserve">drink </t>
    </r>
    <r>
      <rPr>
        <rFont val="Arial"/>
        <color theme="1"/>
        <sz val="10.0"/>
      </rPr>
      <t>average protein content</t>
    </r>
  </si>
  <si>
    <r>
      <rPr>
        <rFont val="Arial"/>
        <color theme="1"/>
        <sz val="10.0"/>
      </rPr>
      <t xml:space="preserve">Counts: 
</t>
    </r>
    <r>
      <rPr>
        <rFont val="Arial"/>
        <b/>
        <color theme="1"/>
        <sz val="10.0"/>
      </rPr>
      <t>Mains</t>
    </r>
  </si>
  <si>
    <t>Supermarket</t>
  </si>
  <si>
    <t>Vegan 
count</t>
  </si>
  <si>
    <t>Non-vegan count</t>
  </si>
  <si>
    <r>
      <rPr>
        <rFont val="Arial"/>
        <color theme="1"/>
        <sz val="10.0"/>
      </rPr>
      <t xml:space="preserve">Counts: 
</t>
    </r>
    <r>
      <rPr>
        <rFont val="Arial"/>
        <b/>
        <color theme="1"/>
        <sz val="10.0"/>
      </rPr>
      <t>Snack</t>
    </r>
  </si>
  <si>
    <r>
      <rPr>
        <rFont val="Arial"/>
        <color theme="1"/>
        <sz val="10.0"/>
      </rPr>
      <t xml:space="preserve">Counts: 
</t>
    </r>
    <r>
      <rPr>
        <rFont val="Arial"/>
        <b/>
        <color theme="1"/>
        <sz val="10.0"/>
      </rPr>
      <t>Drinks</t>
    </r>
  </si>
  <si>
    <t>Tesco</t>
  </si>
  <si>
    <t>7/100</t>
  </si>
  <si>
    <t>93/100</t>
  </si>
  <si>
    <t>70/173</t>
  </si>
  <si>
    <t>103/173</t>
  </si>
  <si>
    <t>85/97</t>
  </si>
  <si>
    <t>12/97</t>
  </si>
  <si>
    <t>Sainsbury's</t>
  </si>
  <si>
    <t>4/56</t>
  </si>
  <si>
    <t>52/56</t>
  </si>
  <si>
    <t>100/262</t>
  </si>
  <si>
    <t>162/262</t>
  </si>
  <si>
    <t>169/189</t>
  </si>
  <si>
    <t>20/189</t>
  </si>
  <si>
    <t>Asda</t>
  </si>
  <si>
    <t>2/43</t>
  </si>
  <si>
    <t>41/43</t>
  </si>
  <si>
    <t>18/56</t>
  </si>
  <si>
    <t>38/56</t>
  </si>
  <si>
    <t>119/128</t>
  </si>
  <si>
    <t>9/128</t>
  </si>
  <si>
    <t>Morrisons</t>
  </si>
  <si>
    <t>2/36</t>
  </si>
  <si>
    <t>34/36</t>
  </si>
  <si>
    <t>30/142</t>
  </si>
  <si>
    <t>112/142</t>
  </si>
  <si>
    <t>135/144</t>
  </si>
  <si>
    <t>9/144</t>
  </si>
  <si>
    <t>Co-op</t>
  </si>
  <si>
    <t>1/22</t>
  </si>
  <si>
    <t>21/22</t>
  </si>
  <si>
    <t>9/24</t>
  </si>
  <si>
    <t>15/24</t>
  </si>
  <si>
    <t>18/24</t>
  </si>
  <si>
    <t>6/24</t>
  </si>
  <si>
    <t>Waitrose</t>
  </si>
  <si>
    <t>7/65</t>
  </si>
  <si>
    <t>58/65</t>
  </si>
  <si>
    <t>46/114</t>
  </si>
  <si>
    <t>68/114</t>
  </si>
  <si>
    <t>87/96</t>
  </si>
  <si>
    <t>9/96</t>
  </si>
  <si>
    <t>Total counts</t>
  </si>
  <si>
    <t xml:space="preserve">Total count across all supermarkets </t>
  </si>
  <si>
    <r>
      <rPr>
        <rFont val="Arial"/>
        <color theme="1"/>
        <sz val="10.0"/>
      </rPr>
      <t xml:space="preserve">Protein averages: 
</t>
    </r>
    <r>
      <rPr>
        <rFont val="Arial"/>
        <b/>
        <color theme="1"/>
        <sz val="10.0"/>
      </rPr>
      <t>Mains</t>
    </r>
  </si>
  <si>
    <t>Vegan 
protein average</t>
  </si>
  <si>
    <t>Non-vegan protein average</t>
  </si>
  <si>
    <r>
      <rPr>
        <rFont val="Arial"/>
        <color theme="1"/>
        <sz val="10.0"/>
      </rPr>
      <t xml:space="preserve">Protein averages: 
</t>
    </r>
    <r>
      <rPr>
        <rFont val="Arial"/>
        <b/>
        <color theme="1"/>
        <sz val="10.0"/>
      </rPr>
      <t>Sides</t>
    </r>
  </si>
  <si>
    <r>
      <rPr>
        <rFont val="Arial"/>
        <color theme="1"/>
        <sz val="10.0"/>
      </rPr>
      <t xml:space="preserve">Protein averages:
</t>
    </r>
    <r>
      <rPr>
        <rFont val="Arial"/>
        <b/>
        <color theme="1"/>
        <sz val="10.0"/>
      </rPr>
      <t>Drinks</t>
    </r>
  </si>
  <si>
    <t>All-supermarket average protein content for mains: all supermarkets weighted equally (all items' mains protein values within a supermarket calculated, then these supermarket averages averaged)</t>
  </si>
  <si>
    <t>All-supermarket average protein content for sides: all supermarkets weighted equally (all items' sides protein values within a supermarket calculated, then these supermarket averages averaged)</t>
  </si>
  <si>
    <t>All-supermarket average protein content for drinks: all supermarkets weighted equally (all items' drinks protein values within a supermarket calculated, then these supermarket averages averaged)</t>
  </si>
  <si>
    <t>All-supermarket average protein content for mains: all items weighted equally (all items' mains protein values added and divided by the number of total mains across all supermarkets)</t>
  </si>
  <si>
    <t>All-supermarket average protein content for sides: all items weighted equally (all items' sides protein values added and divided by the number of total sides across all supermarkets)</t>
  </si>
  <si>
    <t>All-supermarket average protein content for drinks: all items weighted equally (all items' drinks protein values added and divided by the number of total drinnks across all supermarkets)</t>
  </si>
  <si>
    <t>Ranking of top ten percent of main items by protein content</t>
  </si>
  <si>
    <t>Product</t>
  </si>
  <si>
    <t>Protein</t>
  </si>
  <si>
    <t>Ranking</t>
  </si>
  <si>
    <t>Waitrose Triple Sandwich Selection</t>
  </si>
  <si>
    <t>Sainsbury's Summer Picnic Triple</t>
  </si>
  <si>
    <t>Sainsburys's</t>
  </si>
  <si>
    <t>Tesco Chicken Triple Sandwich</t>
  </si>
  <si>
    <t>ASDA Chicken &amp; Bacon Club</t>
  </si>
  <si>
    <t>ASDA Chicken &amp; Bacon Caesar Triple Wrap</t>
  </si>
  <si>
    <t>Waitrose Roast Chicken &amp; Bacon Sandwich</t>
  </si>
  <si>
    <t>Tesco Ham, Cheese &amp; Chicken Triple Sandwich</t>
  </si>
  <si>
    <t>Tesco Sausage, Bacon &amp; Egg Triple</t>
  </si>
  <si>
    <t>Sainsbury's High Protein Chicken Salad Sandwich</t>
  </si>
  <si>
    <t>Tesco The Chicken Club Sandwich</t>
  </si>
  <si>
    <t>Sainsbury's Chicken &amp; Bacon with Black Pepper Mayo on Malted Bread Sandwich</t>
  </si>
  <si>
    <t>Tesco Chicken Bacon &amp; Lettuce Sandwich</t>
  </si>
  <si>
    <t>Tesco BBQ Chicken, Bacon &amp; Cheese Sandwich</t>
  </si>
  <si>
    <t>The Gym Kitchen Meat Feast Pasta 275g</t>
  </si>
  <si>
    <t>Sainsbury's Brie, Bacon &amp; Chilli Chutney on Malted Bread Sandwich</t>
  </si>
  <si>
    <t>The Gym Kitchen Chicken Fajita Rice Salad 315g</t>
  </si>
  <si>
    <t>Co-op Chicken &amp; Bacon with Mayonnaise on Malted Bread</t>
  </si>
  <si>
    <t>Coop</t>
  </si>
  <si>
    <t>Tesco Cheese Triple Sandwich</t>
  </si>
  <si>
    <t>Tesco Chicken Bacon &amp; Stuffing Sandwich</t>
  </si>
  <si>
    <t>Waitrose Chicken &amp; Bacon Caesar Wrap</t>
  </si>
  <si>
    <t>Waitrose Smoked Ham &amp; Cheese Sandwich</t>
  </si>
  <si>
    <t>Tesco Chicken Salad Sandwich</t>
  </si>
  <si>
    <t>The Gym Kitchen Chicken Tikka</t>
  </si>
  <si>
    <t>The Gym Kitchen High Protein Chicken Tikka No Mayo</t>
  </si>
  <si>
    <t>Asda Chicken &amp; Bacon Sandwich</t>
  </si>
  <si>
    <t>Morrisons Chicken &amp; Stuffing Sandwich (£3.00)</t>
  </si>
  <si>
    <t>Co-op Roast Chicken Salad Sandwich</t>
  </si>
  <si>
    <t>Co-op Egg &amp; Bacon Sandwich</t>
  </si>
  <si>
    <t>Tesco Chicken &amp; Bacon Sub</t>
  </si>
  <si>
    <t>ASDA Chicken Salad Sandwich</t>
  </si>
  <si>
    <t>Waitrose Southern Fried Chicken Wrap</t>
  </si>
  <si>
    <t>Sainsbury's High Protein Buffalo Chicken Wrap</t>
  </si>
  <si>
    <t>Waitrose Tuna Mayo &amp; Sweetcorn Sandwich</t>
  </si>
  <si>
    <t>Tesco Chicken Salad Sub</t>
  </si>
  <si>
    <t>Sainsbury's Smoked Ham &amp; Cheddar on Malted Bread Sandwich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</si>
</sst>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1" fillId="2" fontId="2" numFmtId="0" xfId="0" applyAlignment="1" applyBorder="1" applyFill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0" numFmtId="0" xfId="0" applyAlignment="1" applyFont="1">
      <alignment readingOrder="0"/>
    </xf>
    <xf borderId="0" fillId="4" fontId="0" numFmtId="0" xfId="0" applyAlignment="1" applyFill="1" applyFont="1">
      <alignment horizontal="left"/>
    </xf>
    <xf borderId="0" fillId="4" fontId="0" numFmtId="0" xfId="0" applyAlignment="1" applyFill="1" applyFont="1">
      <alignment horizontal="left" shrinkToFit="0" wrapText="1"/>
    </xf>
    <xf borderId="0" fillId="4" fontId="2" numFmtId="0" xfId="0" applyAlignment="1" applyFill="1" applyFont="1">
      <alignment readingOrder="0" shrinkToFit="0" wrapText="1"/>
    </xf>
    <xf borderId="0" fillId="0" fontId="0" numFmtId="0" xfId="0" applyFont="1"/>
    <xf borderId="0" fillId="4" fontId="3" numFmtId="164" xfId="0" applyAlignment="1" applyFill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4" fontId="2" numFmtId="164" xfId="0" applyAlignment="1" applyFill="1" applyFont="1" applyNumberFormat="1">
      <alignment readingOrder="0" shrinkToFit="0" wrapText="1"/>
    </xf>
    <xf borderId="0" fillId="4" fontId="3" numFmtId="164" xfId="0" applyAlignment="1" applyFill="1" applyFont="1" applyNumberFormat="1">
      <alignment readingOrder="0" shrinkToFit="0" wrapText="1"/>
    </xf>
    <xf borderId="0" fillId="3" fontId="4" numFmtId="0" xfId="0" applyAlignment="1" applyFill="1" applyFont="1">
      <alignment readingOrder="0" vertical="bottom"/>
    </xf>
    <xf borderId="0" fillId="0" fontId="5" numFmtId="0" xfId="0" applyAlignment="1" applyFont="1">
      <alignment shrinkToFit="0" vertical="bottom" wrapText="1"/>
    </xf>
    <xf borderId="0" fillId="0" fontId="6" numFmtId="164" xfId="0" applyAlignment="1" applyFont="1" applyNumberFormat="1">
      <alignment horizontal="right"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horizontal="right" shrinkToFit="0" vertical="bottom" wrapText="1"/>
    </xf>
    <xf borderId="0" fillId="0" fontId="5" numFmtId="1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44.5"/>
    <col customWidth="1" min="3" max="4" width="17.5"/>
    <col customWidth="1" min="5" max="5" width="8.25"/>
    <col customWidth="1" min="6" max="6" width="14.25"/>
    <col customWidth="1" min="7" max="7" width="29.75"/>
    <col customWidth="1" min="8" max="9" width="17.5"/>
    <col customWidth="1" min="10" max="10" width="8.25"/>
    <col customWidth="1" min="11" max="11" width="14.25"/>
    <col customWidth="1" min="12" max="12" width="29.75"/>
    <col customWidth="1" min="13" max="14" width="17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/>
      <c r="B2" s="4"/>
      <c r="C2" s="5" t="s">
        <v>1</v>
      </c>
      <c r="D2" s="5" t="s">
        <v>2</v>
      </c>
      <c r="E2" s="6"/>
      <c r="F2" s="4"/>
      <c r="G2" s="6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3</v>
      </c>
      <c r="B3" s="7" t="s">
        <v>4</v>
      </c>
      <c r="C3" s="8">
        <f>sum(C24,H24,M24)</f>
        <v>15.26666667</v>
      </c>
      <c r="D3" s="9">
        <f>10.8+3.7+0.7</f>
        <v>15.2</v>
      </c>
      <c r="E3" s="6"/>
      <c r="F3" s="4"/>
      <c r="G3" s="6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7" t="s">
        <v>5</v>
      </c>
      <c r="C4" s="10">
        <f>sum(D24,I24,N24)</f>
        <v>35.75</v>
      </c>
      <c r="D4" s="11">
        <f>18.6+5.3+11.8</f>
        <v>35.7</v>
      </c>
      <c r="E4" s="12"/>
      <c r="F4" s="4"/>
      <c r="G4" s="12"/>
      <c r="H4" s="1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6</v>
      </c>
      <c r="B6" s="13" t="s">
        <v>7</v>
      </c>
      <c r="C6" s="13" t="s">
        <v>8</v>
      </c>
      <c r="D6" s="13" t="s">
        <v>9</v>
      </c>
      <c r="E6" s="14"/>
      <c r="F6" s="3" t="s">
        <v>10</v>
      </c>
      <c r="G6" s="13" t="s">
        <v>7</v>
      </c>
      <c r="H6" s="13" t="s">
        <v>8</v>
      </c>
      <c r="I6" s="13" t="s">
        <v>9</v>
      </c>
      <c r="J6" s="2"/>
      <c r="K6" s="3" t="s">
        <v>11</v>
      </c>
      <c r="L6" s="13" t="s">
        <v>7</v>
      </c>
      <c r="M6" s="13" t="s">
        <v>8</v>
      </c>
      <c r="N6" s="13" t="s">
        <v>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15" t="s">
        <v>12</v>
      </c>
      <c r="C7" s="15" t="s">
        <v>13</v>
      </c>
      <c r="D7" s="15" t="s">
        <v>14</v>
      </c>
      <c r="E7" s="4"/>
      <c r="F7" s="2"/>
      <c r="G7" s="15" t="s">
        <v>12</v>
      </c>
      <c r="H7" s="15" t="s">
        <v>15</v>
      </c>
      <c r="I7" s="15" t="s">
        <v>16</v>
      </c>
      <c r="J7" s="2"/>
      <c r="K7" s="2"/>
      <c r="L7" s="15" t="s">
        <v>12</v>
      </c>
      <c r="M7" s="15" t="s">
        <v>17</v>
      </c>
      <c r="N7" s="15" t="s">
        <v>18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15" t="s">
        <v>19</v>
      </c>
      <c r="C8" s="16" t="s">
        <v>20</v>
      </c>
      <c r="D8" s="15" t="s">
        <v>21</v>
      </c>
      <c r="E8" s="4"/>
      <c r="F8" s="2"/>
      <c r="G8" s="15" t="s">
        <v>19</v>
      </c>
      <c r="H8" s="16" t="s">
        <v>22</v>
      </c>
      <c r="I8" s="15" t="s">
        <v>23</v>
      </c>
      <c r="J8" s="2"/>
      <c r="K8" s="2"/>
      <c r="L8" s="15" t="s">
        <v>19</v>
      </c>
      <c r="M8" s="16" t="s">
        <v>24</v>
      </c>
      <c r="N8" s="15" t="s">
        <v>25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15" t="s">
        <v>26</v>
      </c>
      <c r="C9" s="15" t="s">
        <v>27</v>
      </c>
      <c r="D9" s="15" t="s">
        <v>28</v>
      </c>
      <c r="E9" s="4"/>
      <c r="F9" s="2"/>
      <c r="G9" s="15" t="s">
        <v>26</v>
      </c>
      <c r="H9" s="15" t="s">
        <v>29</v>
      </c>
      <c r="I9" s="15" t="s">
        <v>30</v>
      </c>
      <c r="J9" s="2"/>
      <c r="K9" s="2"/>
      <c r="L9" s="15" t="s">
        <v>26</v>
      </c>
      <c r="M9" s="15" t="s">
        <v>31</v>
      </c>
      <c r="N9" s="15" t="s">
        <v>32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15" t="s">
        <v>33</v>
      </c>
      <c r="C10" s="15" t="s">
        <v>34</v>
      </c>
      <c r="D10" s="15" t="s">
        <v>35</v>
      </c>
      <c r="E10" s="4"/>
      <c r="F10" s="2"/>
      <c r="G10" s="15" t="s">
        <v>33</v>
      </c>
      <c r="H10" s="15" t="s">
        <v>36</v>
      </c>
      <c r="I10" s="15" t="s">
        <v>37</v>
      </c>
      <c r="J10" s="2"/>
      <c r="K10" s="2"/>
      <c r="L10" s="15" t="s">
        <v>33</v>
      </c>
      <c r="M10" s="15" t="s">
        <v>38</v>
      </c>
      <c r="N10" s="15" t="s">
        <v>39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15" t="s">
        <v>40</v>
      </c>
      <c r="C11" s="15" t="s">
        <v>41</v>
      </c>
      <c r="D11" s="15" t="s">
        <v>42</v>
      </c>
      <c r="E11" s="4"/>
      <c r="F11" s="2"/>
      <c r="G11" s="15" t="s">
        <v>40</v>
      </c>
      <c r="H11" s="15" t="s">
        <v>43</v>
      </c>
      <c r="I11" s="15" t="s">
        <v>44</v>
      </c>
      <c r="J11" s="2"/>
      <c r="K11" s="2"/>
      <c r="L11" s="15" t="s">
        <v>40</v>
      </c>
      <c r="M11" s="15" t="s">
        <v>45</v>
      </c>
      <c r="N11" s="15" t="s">
        <v>46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15" t="s">
        <v>47</v>
      </c>
      <c r="C12" s="15" t="s">
        <v>48</v>
      </c>
      <c r="D12" s="15" t="s">
        <v>49</v>
      </c>
      <c r="E12" s="4"/>
      <c r="F12" s="2"/>
      <c r="G12" s="15" t="s">
        <v>47</v>
      </c>
      <c r="H12" s="15" t="s">
        <v>50</v>
      </c>
      <c r="I12" s="15" t="s">
        <v>51</v>
      </c>
      <c r="J12" s="2"/>
      <c r="K12" s="2"/>
      <c r="L12" s="15" t="s">
        <v>47</v>
      </c>
      <c r="M12" s="15" t="s">
        <v>52</v>
      </c>
      <c r="N12" s="15" t="s">
        <v>53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13" t="s">
        <v>54</v>
      </c>
      <c r="C13" s="17">
        <f>7+4+2+2+1+7</f>
        <v>23</v>
      </c>
      <c r="D13" s="17">
        <f>sum(93+52+41+34+21+58)</f>
        <v>299</v>
      </c>
      <c r="E13" s="4"/>
      <c r="F13" s="2"/>
      <c r="G13" s="13" t="s">
        <v>54</v>
      </c>
      <c r="H13" s="17">
        <f>sum(70+100+18+30+9+46)</f>
        <v>273</v>
      </c>
      <c r="I13" s="17">
        <f>sum(103+162+38+112+15+68)</f>
        <v>498</v>
      </c>
      <c r="J13" s="2"/>
      <c r="K13" s="2"/>
      <c r="L13" s="13" t="s">
        <v>54</v>
      </c>
      <c r="M13" s="17">
        <f>sum(85+169+119+135+18+87)</f>
        <v>613</v>
      </c>
      <c r="N13" s="17">
        <f>sum(12+20+9+9+6+9)</f>
        <v>65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/>
      <c r="B14" s="13" t="s">
        <v>55</v>
      </c>
      <c r="C14" s="18">
        <f>sum(C13:D13)</f>
        <v>322</v>
      </c>
      <c r="E14" s="4"/>
      <c r="F14" s="3"/>
      <c r="G14" s="13" t="s">
        <v>55</v>
      </c>
      <c r="H14" s="18">
        <f>sum(H13:I13)</f>
        <v>771</v>
      </c>
      <c r="J14" s="2"/>
      <c r="K14" s="3"/>
      <c r="L14" s="13" t="s">
        <v>55</v>
      </c>
      <c r="M14" s="18">
        <f>sum(M13:N13)</f>
        <v>678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56</v>
      </c>
      <c r="B17" s="19" t="s">
        <v>7</v>
      </c>
      <c r="C17" s="13" t="s">
        <v>57</v>
      </c>
      <c r="D17" s="13" t="s">
        <v>58</v>
      </c>
      <c r="E17" s="14"/>
      <c r="F17" s="3" t="s">
        <v>59</v>
      </c>
      <c r="G17" s="19" t="s">
        <v>7</v>
      </c>
      <c r="H17" s="13" t="s">
        <v>57</v>
      </c>
      <c r="I17" s="13" t="s">
        <v>58</v>
      </c>
      <c r="J17" s="4"/>
      <c r="K17" s="3" t="s">
        <v>60</v>
      </c>
      <c r="L17" s="19" t="s">
        <v>7</v>
      </c>
      <c r="M17" s="13" t="s">
        <v>57</v>
      </c>
      <c r="N17" s="13" t="s">
        <v>58</v>
      </c>
      <c r="O17" s="4"/>
      <c r="P17" s="4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15" t="s">
        <v>12</v>
      </c>
      <c r="C18" s="15">
        <v>6.6</v>
      </c>
      <c r="D18" s="15">
        <v>19.3</v>
      </c>
      <c r="E18" s="20"/>
      <c r="F18" s="2"/>
      <c r="G18" s="15" t="s">
        <v>12</v>
      </c>
      <c r="H18" s="15">
        <v>3.3</v>
      </c>
      <c r="I18" s="15">
        <v>5.8</v>
      </c>
      <c r="J18" s="4"/>
      <c r="K18" s="2"/>
      <c r="L18" s="15" t="s">
        <v>12</v>
      </c>
      <c r="M18" s="15">
        <v>0.8</v>
      </c>
      <c r="N18" s="15">
        <v>12.3</v>
      </c>
      <c r="O18" s="4"/>
      <c r="P18" s="4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15" t="s">
        <v>19</v>
      </c>
      <c r="C19" s="15">
        <v>13.5</v>
      </c>
      <c r="D19" s="15">
        <v>18.0</v>
      </c>
      <c r="E19" s="20"/>
      <c r="F19" s="2"/>
      <c r="G19" s="15" t="s">
        <v>19</v>
      </c>
      <c r="H19" s="15">
        <v>3.8</v>
      </c>
      <c r="I19" s="15">
        <v>5.2</v>
      </c>
      <c r="J19" s="4"/>
      <c r="K19" s="2"/>
      <c r="L19" s="15" t="s">
        <v>19</v>
      </c>
      <c r="M19" s="15">
        <v>0.8</v>
      </c>
      <c r="N19" s="15">
        <v>12.8</v>
      </c>
      <c r="O19" s="4"/>
      <c r="P19" s="4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15" t="s">
        <v>26</v>
      </c>
      <c r="C20" s="15">
        <v>11.4</v>
      </c>
      <c r="D20" s="15">
        <v>18.8</v>
      </c>
      <c r="E20" s="20"/>
      <c r="F20" s="2"/>
      <c r="G20" s="15" t="s">
        <v>26</v>
      </c>
      <c r="H20" s="15">
        <v>3.0</v>
      </c>
      <c r="I20" s="15">
        <v>5.6</v>
      </c>
      <c r="J20" s="4"/>
      <c r="K20" s="2"/>
      <c r="L20" s="15" t="s">
        <v>26</v>
      </c>
      <c r="M20" s="15">
        <v>0.5</v>
      </c>
      <c r="N20" s="15">
        <v>11.9</v>
      </c>
      <c r="O20" s="4"/>
      <c r="P20" s="4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15" t="s">
        <v>33</v>
      </c>
      <c r="C21" s="15">
        <v>10.6</v>
      </c>
      <c r="D21" s="15">
        <v>18.1</v>
      </c>
      <c r="E21" s="20"/>
      <c r="F21" s="2"/>
      <c r="G21" s="15" t="s">
        <v>33</v>
      </c>
      <c r="H21" s="15">
        <v>2.6</v>
      </c>
      <c r="I21" s="15">
        <v>4.4</v>
      </c>
      <c r="J21" s="4"/>
      <c r="K21" s="2"/>
      <c r="L21" s="15" t="s">
        <v>33</v>
      </c>
      <c r="M21" s="15">
        <v>0.6</v>
      </c>
      <c r="N21" s="15">
        <v>11.3</v>
      </c>
      <c r="O21" s="4"/>
      <c r="P21" s="4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15" t="s">
        <v>40</v>
      </c>
      <c r="C22" s="15">
        <v>12.0</v>
      </c>
      <c r="D22" s="15">
        <v>19.1</v>
      </c>
      <c r="E22" s="20"/>
      <c r="F22" s="2"/>
      <c r="G22" s="15" t="s">
        <v>40</v>
      </c>
      <c r="H22" s="15">
        <v>2.3</v>
      </c>
      <c r="I22" s="15">
        <v>6.5</v>
      </c>
      <c r="J22" s="4"/>
      <c r="K22" s="2"/>
      <c r="L22" s="15" t="s">
        <v>40</v>
      </c>
      <c r="M22" s="15">
        <v>0.9</v>
      </c>
      <c r="N22" s="15">
        <v>12.1</v>
      </c>
      <c r="O22" s="4"/>
      <c r="P22" s="4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15" t="s">
        <v>47</v>
      </c>
      <c r="C23" s="15">
        <v>13.1</v>
      </c>
      <c r="D23" s="15">
        <v>18.2</v>
      </c>
      <c r="E23" s="20"/>
      <c r="F23" s="2"/>
      <c r="G23" s="15" t="s">
        <v>47</v>
      </c>
      <c r="H23" s="15">
        <v>5.1</v>
      </c>
      <c r="I23" s="15">
        <v>5.6</v>
      </c>
      <c r="J23" s="4"/>
      <c r="K23" s="2"/>
      <c r="L23" s="15" t="s">
        <v>47</v>
      </c>
      <c r="M23" s="15">
        <v>0.7</v>
      </c>
      <c r="N23" s="15">
        <v>9.5</v>
      </c>
      <c r="O23" s="4"/>
      <c r="P23" s="4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19" t="s">
        <v>61</v>
      </c>
      <c r="C24" s="21">
        <f t="shared" ref="C24:D24" si="1">AVERAGE(C18:C23)</f>
        <v>11.2</v>
      </c>
      <c r="D24" s="21">
        <f t="shared" si="1"/>
        <v>18.58333333</v>
      </c>
      <c r="E24" s="20"/>
      <c r="F24" s="22"/>
      <c r="G24" s="23" t="s">
        <v>62</v>
      </c>
      <c r="H24" s="21">
        <f t="shared" ref="H24:I24" si="2">AVERAGE(H18:H23)</f>
        <v>3.35</v>
      </c>
      <c r="I24" s="21">
        <f t="shared" si="2"/>
        <v>5.516666667</v>
      </c>
      <c r="J24" s="4"/>
      <c r="K24" s="22"/>
      <c r="L24" s="23" t="s">
        <v>63</v>
      </c>
      <c r="M24" s="21">
        <f t="shared" ref="M24:N24" si="3">AVERAGE(M18:M23)</f>
        <v>0.7166666667</v>
      </c>
      <c r="N24" s="21">
        <f t="shared" si="3"/>
        <v>11.65</v>
      </c>
      <c r="O24" s="4"/>
      <c r="P24" s="4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19" t="s">
        <v>64</v>
      </c>
      <c r="C25" s="24">
        <v>10.8</v>
      </c>
      <c r="D25" s="24">
        <v>18.6</v>
      </c>
      <c r="E25" s="2"/>
      <c r="F25" s="2"/>
      <c r="G25" s="19" t="s">
        <v>65</v>
      </c>
      <c r="H25" s="24">
        <v>3.7</v>
      </c>
      <c r="I25" s="24">
        <v>5.3</v>
      </c>
      <c r="J25" s="2"/>
      <c r="K25" s="2"/>
      <c r="L25" s="19" t="s">
        <v>66</v>
      </c>
      <c r="M25" s="24">
        <v>0.7</v>
      </c>
      <c r="N25" s="24">
        <v>11.8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4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 t="s">
        <v>67</v>
      </c>
      <c r="B27" s="25" t="s">
        <v>68</v>
      </c>
      <c r="C27" s="25" t="s">
        <v>69</v>
      </c>
      <c r="D27" s="25" t="s">
        <v>7</v>
      </c>
      <c r="E27" s="25" t="s">
        <v>70</v>
      </c>
      <c r="F27" s="2"/>
      <c r="G27" s="2"/>
      <c r="H27" s="2"/>
      <c r="I27" s="2"/>
      <c r="J27" s="2"/>
      <c r="K27" s="2"/>
      <c r="L27" s="2">
        <f>18.6+11.7+5.5</f>
        <v>35.8</v>
      </c>
      <c r="M27" s="2">
        <f>11.7+5.5</f>
        <v>17.2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4"/>
      <c r="B28" s="26" t="s">
        <v>71</v>
      </c>
      <c r="C28" s="27">
        <v>35.1</v>
      </c>
      <c r="D28" s="28" t="s">
        <v>47</v>
      </c>
      <c r="E28" s="29">
        <v>1.0</v>
      </c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4"/>
      <c r="B29" s="26" t="s">
        <v>72</v>
      </c>
      <c r="C29" s="30">
        <v>34.2</v>
      </c>
      <c r="D29" s="28" t="s">
        <v>73</v>
      </c>
      <c r="E29" s="29">
        <v>2.0</v>
      </c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4"/>
      <c r="V29" s="4"/>
      <c r="W29" s="4"/>
      <c r="X29" s="4"/>
      <c r="Y29" s="4"/>
    </row>
    <row r="30">
      <c r="A30" s="4"/>
      <c r="B30" s="26" t="s">
        <v>74</v>
      </c>
      <c r="C30" s="27">
        <v>32.9</v>
      </c>
      <c r="D30" s="15" t="s">
        <v>12</v>
      </c>
      <c r="E30" s="29">
        <v>3.0</v>
      </c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4"/>
      <c r="V30" s="4"/>
      <c r="W30" s="4"/>
      <c r="X30" s="4"/>
      <c r="Y30" s="4"/>
    </row>
    <row r="31">
      <c r="A31" s="4"/>
      <c r="B31" s="26" t="s">
        <v>75</v>
      </c>
      <c r="C31" s="31">
        <v>32.0</v>
      </c>
      <c r="D31" s="28" t="s">
        <v>26</v>
      </c>
      <c r="E31" s="32">
        <v>4.0</v>
      </c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4"/>
      <c r="V31" s="4"/>
      <c r="W31" s="4"/>
      <c r="X31" s="4"/>
      <c r="Y31" s="4"/>
    </row>
    <row r="32">
      <c r="A32" s="4"/>
      <c r="B32" s="26" t="s">
        <v>76</v>
      </c>
      <c r="C32" s="30">
        <v>31.0</v>
      </c>
      <c r="D32" s="28" t="s">
        <v>26</v>
      </c>
      <c r="E32" s="29">
        <v>5.0</v>
      </c>
      <c r="F32" s="4"/>
      <c r="G32" s="4"/>
      <c r="H32" s="2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4"/>
      <c r="B33" s="26" t="s">
        <v>77</v>
      </c>
      <c r="C33" s="27">
        <v>30.8</v>
      </c>
      <c r="D33" s="28" t="s">
        <v>47</v>
      </c>
      <c r="E33" s="29">
        <v>6.0</v>
      </c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4"/>
      <c r="B34" s="26" t="s">
        <v>78</v>
      </c>
      <c r="C34" s="27">
        <v>30.4</v>
      </c>
      <c r="D34" s="15" t="s">
        <v>12</v>
      </c>
      <c r="E34" s="29">
        <v>7.0</v>
      </c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4"/>
      <c r="B35" s="26" t="s">
        <v>79</v>
      </c>
      <c r="C35" s="27">
        <v>30.3</v>
      </c>
      <c r="D35" s="15" t="s">
        <v>12</v>
      </c>
      <c r="E35" s="29">
        <v>8.0</v>
      </c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4"/>
      <c r="B36" s="26" t="s">
        <v>80</v>
      </c>
      <c r="C36" s="30">
        <v>30.1</v>
      </c>
      <c r="D36" s="28" t="s">
        <v>73</v>
      </c>
      <c r="E36" s="29">
        <v>9.0</v>
      </c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4"/>
      <c r="B37" s="26" t="s">
        <v>81</v>
      </c>
      <c r="C37" s="27">
        <v>29.9</v>
      </c>
      <c r="D37" s="15" t="s">
        <v>12</v>
      </c>
      <c r="E37" s="29">
        <v>10.0</v>
      </c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4"/>
      <c r="B38" s="26" t="s">
        <v>82</v>
      </c>
      <c r="C38" s="30">
        <v>28.9</v>
      </c>
      <c r="D38" s="28" t="s">
        <v>73</v>
      </c>
      <c r="E38" s="33">
        <v>11.0</v>
      </c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4"/>
      <c r="B39" s="26" t="s">
        <v>83</v>
      </c>
      <c r="C39" s="27">
        <v>28.7</v>
      </c>
      <c r="D39" s="15" t="s">
        <v>12</v>
      </c>
      <c r="E39" s="33">
        <v>12.0</v>
      </c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4"/>
      <c r="B40" s="26" t="s">
        <v>84</v>
      </c>
      <c r="C40" s="27">
        <v>28.6</v>
      </c>
      <c r="D40" s="15" t="s">
        <v>12</v>
      </c>
      <c r="E40" s="33">
        <v>13.0</v>
      </c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4"/>
      <c r="B41" s="26" t="s">
        <v>85</v>
      </c>
      <c r="C41" s="27">
        <v>28.6</v>
      </c>
      <c r="D41" s="15" t="s">
        <v>12</v>
      </c>
      <c r="E41" s="33">
        <v>14.0</v>
      </c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4"/>
      <c r="B42" s="26" t="s">
        <v>86</v>
      </c>
      <c r="C42" s="30">
        <v>28.2</v>
      </c>
      <c r="D42" s="28" t="s">
        <v>73</v>
      </c>
      <c r="E42" s="29">
        <v>15.0</v>
      </c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4"/>
      <c r="B43" s="26" t="s">
        <v>87</v>
      </c>
      <c r="C43" s="30">
        <v>28.0</v>
      </c>
      <c r="D43" s="28" t="s">
        <v>26</v>
      </c>
      <c r="E43" s="29">
        <v>16.0</v>
      </c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/>
      <c r="B44" s="26" t="s">
        <v>88</v>
      </c>
      <c r="C44" s="30">
        <v>28.0</v>
      </c>
      <c r="D44" s="28" t="s">
        <v>89</v>
      </c>
      <c r="E44" s="29">
        <v>17.0</v>
      </c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4"/>
      <c r="B45" s="26" t="s">
        <v>90</v>
      </c>
      <c r="C45" s="27">
        <v>27.1</v>
      </c>
      <c r="D45" s="15" t="s">
        <v>12</v>
      </c>
      <c r="E45" s="32">
        <v>18.0</v>
      </c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4"/>
      <c r="B46" s="26" t="s">
        <v>91</v>
      </c>
      <c r="C46" s="27">
        <v>27.1</v>
      </c>
      <c r="D46" s="15" t="s">
        <v>12</v>
      </c>
      <c r="E46" s="29">
        <v>19.0</v>
      </c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4"/>
      <c r="B47" s="26" t="s">
        <v>92</v>
      </c>
      <c r="C47" s="27">
        <v>26.1</v>
      </c>
      <c r="D47" s="28" t="s">
        <v>47</v>
      </c>
      <c r="E47" s="29">
        <v>20.0</v>
      </c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4"/>
      <c r="B48" s="26" t="s">
        <v>93</v>
      </c>
      <c r="C48" s="27">
        <v>26.1</v>
      </c>
      <c r="D48" s="28" t="s">
        <v>47</v>
      </c>
      <c r="E48" s="29">
        <v>21.0</v>
      </c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4"/>
      <c r="B49" s="26" t="s">
        <v>94</v>
      </c>
      <c r="C49" s="27">
        <v>26.0</v>
      </c>
      <c r="D49" s="15" t="s">
        <v>12</v>
      </c>
      <c r="E49" s="29">
        <v>22.0</v>
      </c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4"/>
      <c r="B50" s="26" t="s">
        <v>95</v>
      </c>
      <c r="C50" s="27">
        <v>26.0</v>
      </c>
      <c r="D50" s="15" t="s">
        <v>12</v>
      </c>
      <c r="E50" s="29">
        <v>23.0</v>
      </c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4"/>
      <c r="B51" s="26" t="s">
        <v>96</v>
      </c>
      <c r="C51" s="30">
        <v>26.0</v>
      </c>
      <c r="D51" s="28" t="s">
        <v>26</v>
      </c>
      <c r="E51" s="29">
        <v>24.0</v>
      </c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4"/>
      <c r="B52" s="26" t="s">
        <v>97</v>
      </c>
      <c r="C52" s="30">
        <v>26.0</v>
      </c>
      <c r="D52" s="28" t="s">
        <v>26</v>
      </c>
      <c r="E52" s="33">
        <v>25.0</v>
      </c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4"/>
      <c r="B53" s="26" t="s">
        <v>98</v>
      </c>
      <c r="C53" s="30">
        <v>26.0</v>
      </c>
      <c r="D53" s="28" t="s">
        <v>33</v>
      </c>
      <c r="E53" s="33">
        <v>26.0</v>
      </c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4"/>
      <c r="B54" s="26" t="s">
        <v>99</v>
      </c>
      <c r="C54" s="30">
        <v>26.0</v>
      </c>
      <c r="D54" s="28" t="s">
        <v>89</v>
      </c>
      <c r="E54" s="33">
        <v>27.0</v>
      </c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4"/>
      <c r="B55" s="26" t="s">
        <v>100</v>
      </c>
      <c r="C55" s="30">
        <v>26.0</v>
      </c>
      <c r="D55" s="28" t="s">
        <v>89</v>
      </c>
      <c r="E55" s="33">
        <v>28.0</v>
      </c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/>
      <c r="B56" s="26" t="s">
        <v>101</v>
      </c>
      <c r="C56" s="27">
        <v>25.4</v>
      </c>
      <c r="D56" s="15" t="s">
        <v>12</v>
      </c>
      <c r="E56" s="29">
        <v>29.0</v>
      </c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4"/>
      <c r="B57" s="26" t="s">
        <v>102</v>
      </c>
      <c r="C57" s="30">
        <v>25.0</v>
      </c>
      <c r="D57" s="28" t="s">
        <v>26</v>
      </c>
      <c r="E57" s="29">
        <v>30.0</v>
      </c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4"/>
      <c r="B58" s="26" t="s">
        <v>103</v>
      </c>
      <c r="C58" s="27">
        <v>24.8</v>
      </c>
      <c r="D58" s="28" t="s">
        <v>47</v>
      </c>
      <c r="E58" s="34">
        <v>31.0</v>
      </c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6" t="s">
        <v>104</v>
      </c>
      <c r="C59" s="30">
        <v>24.7</v>
      </c>
      <c r="D59" s="35" t="s">
        <v>19</v>
      </c>
      <c r="E59" s="3">
        <v>32.0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6" t="s">
        <v>105</v>
      </c>
      <c r="C60" s="27">
        <v>24.6</v>
      </c>
      <c r="D60" s="35" t="s">
        <v>47</v>
      </c>
      <c r="E60" s="3">
        <v>33.0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6" t="s">
        <v>106</v>
      </c>
      <c r="C61" s="27">
        <v>24.6</v>
      </c>
      <c r="D61" s="35" t="s">
        <v>12</v>
      </c>
      <c r="E61" s="3">
        <v>33.0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6" t="s">
        <v>107</v>
      </c>
      <c r="C62" s="30">
        <v>24.6</v>
      </c>
      <c r="D62" s="35" t="s">
        <v>19</v>
      </c>
      <c r="E62" s="3">
        <v>33.0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4"/>
      <c r="C63" s="4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4"/>
      <c r="C64" s="4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4"/>
      <c r="C65" s="4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4"/>
      <c r="C66" s="4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4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4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mergeCells count="3">
    <mergeCell ref="C14:D14"/>
    <mergeCell ref="H14:I14"/>
    <mergeCell ref="M14:N14"/>
  </mergeCells>
  <drawing r:id="rId1"/>
</worksheet>
</file>